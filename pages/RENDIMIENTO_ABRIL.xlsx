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uimed-my.sharepoint.com/personal/manuel_toledo_arquimed_cl/Documents/VETERINARIA ARQUIMED/CARPETA DE TRABAJO 2026/DASH CCH/Commercial_Command_Hub/pages/"/>
    </mc:Choice>
  </mc:AlternateContent>
  <xr:revisionPtr revIDLastSave="0" documentId="8_{6E2D21E3-150F-4476-87D2-B9D0F7FB6406}" xr6:coauthVersionLast="47" xr6:coauthVersionMax="47" xr10:uidLastSave="{00000000-0000-0000-0000-000000000000}"/>
  <bookViews>
    <workbookView xWindow="-120" yWindow="-120" windowWidth="20730" windowHeight="11040" xr2:uid="{06545CA7-A51B-47E4-B217-A08FF6E0E8D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2" l="1"/>
  <c r="J5" i="2"/>
  <c r="G5" i="2"/>
</calcChain>
</file>

<file path=xl/sharedStrings.xml><?xml version="1.0" encoding="utf-8"?>
<sst xmlns="http://schemas.openxmlformats.org/spreadsheetml/2006/main" count="18" uniqueCount="16">
  <si>
    <t>REAGENT KIT V-52</t>
  </si>
  <si>
    <t>DIFF</t>
  </si>
  <si>
    <t>LH</t>
  </si>
  <si>
    <t>DIL 5.5</t>
  </si>
  <si>
    <t>Campaña</t>
  </si>
  <si>
    <t>Leads Contactos Meta (Informe KONA Mkt)</t>
  </si>
  <si>
    <t>Contactos</t>
  </si>
  <si>
    <t>Conversaciones</t>
  </si>
  <si>
    <t>En Cierre</t>
  </si>
  <si>
    <t>Ventas</t>
  </si>
  <si>
    <t>Revenue</t>
  </si>
  <si>
    <t>Vetus E7 Abril 2026</t>
  </si>
  <si>
    <t>Leads BoldKnight</t>
  </si>
  <si>
    <t>Inversion</t>
  </si>
  <si>
    <t xml:space="preserve">Appointment Count
</t>
  </si>
  <si>
    <t>Oportunidades CRM arquimed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</si>
</sst>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01828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0EF5-4ED9-4935-851D-4CB9F3029165}">
  <dimension ref="A1:K2"/>
  <sheetViews>
    <sheetView tabSelected="1" workbookViewId="0">
      <selection activeCell="K2" sqref="A1:K2"/>
    </sheetView>
  </sheetViews>
  <sheetFormatPr baseColWidth="10" defaultRowHeight="15"/>
  <cols>
    <col min="1" max="1" width="17.42578125" bestFit="1" customWidth="1"/>
    <col min="2" max="2" width="38.7109375" bestFit="1" customWidth="1"/>
    <col min="3" max="3" width="16.28515625" bestFit="1" customWidth="1"/>
    <col min="4" max="4" width="9.85546875" bestFit="1" customWidth="1"/>
    <col min="5" max="5" width="20.85546875" bestFit="1" customWidth="1"/>
    <col min="6" max="6" width="20.85546875" customWidth="1"/>
    <col min="7" max="7" width="28" bestFit="1" customWidth="1"/>
    <col min="8" max="8" width="9.85546875" bestFit="1" customWidth="1"/>
    <col min="9" max="9" width="17.28515625" bestFit="1" customWidth="1"/>
  </cols>
  <sheetData>
    <row r="1" spans="1:11" s="2" customFormat="1" ht="30">
      <c r="A1" s="2" t="s">
        <v>4</v>
      </c>
      <c r="B1" s="2" t="s">
        <v>5</v>
      </c>
      <c r="C1" s="2" t="s">
        <v>12</v>
      </c>
      <c r="D1" s="2" t="s">
        <v>6</v>
      </c>
      <c r="E1" s="2" t="s">
        <v>7</v>
      </c>
      <c r="F1" s="3" t="s">
        <v>14</v>
      </c>
      <c r="G1" s="2" t="s">
        <v>15</v>
      </c>
      <c r="H1" s="2" t="s">
        <v>8</v>
      </c>
      <c r="I1" s="2" t="s">
        <v>9</v>
      </c>
      <c r="J1" s="2" t="s">
        <v>10</v>
      </c>
      <c r="K1" s="2" t="s">
        <v>13</v>
      </c>
    </row>
    <row r="2" spans="1:11">
      <c r="A2" t="s">
        <v>11</v>
      </c>
      <c r="B2">
        <v>200</v>
      </c>
      <c r="C2">
        <v>129</v>
      </c>
      <c r="D2">
        <v>137</v>
      </c>
      <c r="F2" s="1">
        <v>29</v>
      </c>
      <c r="H2">
        <v>2</v>
      </c>
      <c r="I2">
        <v>1</v>
      </c>
      <c r="J2">
        <v>15500000</v>
      </c>
      <c r="K2">
        <v>353483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B197-D1DE-4382-8301-BAD2C269F861}">
  <dimension ref="B5:K9"/>
  <sheetViews>
    <sheetView workbookViewId="0">
      <selection activeCell="F9" sqref="F9"/>
    </sheetView>
  </sheetViews>
  <sheetFormatPr baseColWidth="10" defaultRowHeight="15"/>
  <cols>
    <col min="4" max="4" width="28" customWidth="1"/>
  </cols>
  <sheetData>
    <row r="5" spans="2:11">
      <c r="B5">
        <v>1</v>
      </c>
      <c r="C5" t="s">
        <v>1</v>
      </c>
      <c r="D5" t="s">
        <v>0</v>
      </c>
      <c r="E5">
        <v>4</v>
      </c>
      <c r="F5">
        <v>175000</v>
      </c>
      <c r="G5">
        <f>(E5*F5)</f>
        <v>700000</v>
      </c>
      <c r="J5">
        <f>700000</f>
        <v>700000</v>
      </c>
      <c r="K5">
        <f>(J5/4)</f>
        <v>175000</v>
      </c>
    </row>
    <row r="6" spans="2:11">
      <c r="B6">
        <v>1</v>
      </c>
      <c r="C6" t="s">
        <v>2</v>
      </c>
    </row>
    <row r="7" spans="2:11">
      <c r="B7">
        <v>1</v>
      </c>
      <c r="C7" t="s">
        <v>3</v>
      </c>
    </row>
    <row r="8" spans="2:11">
      <c r="D8" t="s">
        <v>1</v>
      </c>
      <c r="E8">
        <v>1</v>
      </c>
      <c r="F8">
        <v>350000</v>
      </c>
    </row>
    <row r="9" spans="2:11">
      <c r="D9" t="s">
        <v>2</v>
      </c>
      <c r="E9">
        <v>1</v>
      </c>
      <c r="F9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Toledo</dc:creator>
  <cp:lastModifiedBy>Manuel Toledo</cp:lastModifiedBy>
  <dcterms:created xsi:type="dcterms:W3CDTF">2026-05-12T19:45:06Z</dcterms:created>
  <dcterms:modified xsi:type="dcterms:W3CDTF">2026-05-14T13:12:16Z</dcterms:modified>
</cp:coreProperties>
</file>