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quimed-my.sharepoint.com/personal/manuel_toledo_arquimed_cl/Documents/VETERINARIA ARQUIMED/CARPETA DE TRABAJO 2026/DASH CCH/Commercial_Command_Hub/pages/"/>
    </mc:Choice>
  </mc:AlternateContent>
  <xr:revisionPtr revIDLastSave="143" documentId="8_{6E2D21E3-150F-4476-87D2-B9D0F7FB6406}" xr6:coauthVersionLast="47" xr6:coauthVersionMax="47" xr10:uidLastSave="{44AD52D1-89DF-4135-85A1-0BBDA01492C3}"/>
  <bookViews>
    <workbookView minimized="1" xWindow="2835" yWindow="1350" windowWidth="15375" windowHeight="7785" firstSheet="1" activeTab="2" xr2:uid="{06545CA7-A51B-47E4-B217-A08FF6E0E8DD}"/>
  </bookViews>
  <sheets>
    <sheet name="Datos KPI" sheetId="1" r:id="rId1"/>
    <sheet name="ORIGO" sheetId="3" r:id="rId2"/>
    <sheet name="Hoja1" sheetId="4" r:id="rId3"/>
    <sheet name="RESUMEN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8" i="4" l="1"/>
  <c r="G8" i="4" s="1"/>
  <c r="D8" i="4"/>
  <c r="E8" i="4"/>
  <c r="D7" i="4"/>
  <c r="E7" i="4"/>
  <c r="C7" i="4"/>
  <c r="C8" i="4" s="1"/>
  <c r="F6" i="4"/>
  <c r="G6" i="4" s="1"/>
  <c r="K19" i="3"/>
  <c r="L19" i="3"/>
  <c r="J19" i="3"/>
  <c r="I19" i="3"/>
  <c r="H19" i="3"/>
  <c r="F19" i="3"/>
  <c r="E19" i="3"/>
  <c r="D19" i="3"/>
  <c r="C19" i="3"/>
</calcChain>
</file>

<file path=xl/sharedStrings.xml><?xml version="1.0" encoding="utf-8"?>
<sst xmlns="http://schemas.openxmlformats.org/spreadsheetml/2006/main" count="49" uniqueCount="49">
  <si>
    <t>Campaña</t>
  </si>
  <si>
    <t>Leads Contactos Meta (Informe KONA Mkt)</t>
  </si>
  <si>
    <t>Contactos</t>
  </si>
  <si>
    <t>En Cierre</t>
  </si>
  <si>
    <t>Ventas</t>
  </si>
  <si>
    <t>Revenue</t>
  </si>
  <si>
    <t>Vetus E7 Abril 2026</t>
  </si>
  <si>
    <t>Leads BoldKnight</t>
  </si>
  <si>
    <t>Inversion</t>
  </si>
  <si>
    <t xml:space="preserve">Appointment Count
</t>
  </si>
  <si>
    <t>Oportunidades CRM arquimed</t>
  </si>
  <si>
    <t>Insight</t>
  </si>
  <si>
    <t>La campaña generó 200 leads desde Meta y 129 leads registrados en BoldKnight.</t>
  </si>
  <si>
    <t>Se consolidaron 137 contactos comerciales efectivos.</t>
  </si>
  <si>
    <t>Se lograron 29 agendamientos, equivalentes a 21.2% sobre contactos.</t>
  </si>
  <si>
    <t>Se generaron 6 oportunidades comerciales reales.</t>
  </si>
  <si>
    <t>La campaña ya generó 1 venta cerrada por $17.740.000.</t>
  </si>
  <si>
    <t>El ROAS actual es de 50.2x, con una inversión de $353.483.</t>
  </si>
  <si>
    <t>Existen 2 oportunidades en cierre, por lo que el resultado final aún puede aumentar.</t>
  </si>
  <si>
    <t>Las ventas perdidas por falta de financiamiento deben registrarse como demanda no capturada, no como falta de interés comercial.</t>
  </si>
  <si>
    <t>OCC</t>
  </si>
  <si>
    <t>ORP</t>
  </si>
  <si>
    <t>ODI</t>
  </si>
  <si>
    <t>PI</t>
  </si>
  <si>
    <t>F_OCC</t>
  </si>
  <si>
    <t>FIR_PI</t>
  </si>
  <si>
    <t>PAGO_PI</t>
  </si>
  <si>
    <t>DESPACHO_PI</t>
  </si>
  <si>
    <t>ETA</t>
  </si>
  <si>
    <t>CL-QAZWSX</t>
  </si>
  <si>
    <t>ESTADO</t>
  </si>
  <si>
    <t>CALZ/STOCK</t>
  </si>
  <si>
    <t>F_PI</t>
  </si>
  <si>
    <t>F_ORP</t>
  </si>
  <si>
    <t>T_ORP</t>
  </si>
  <si>
    <t>T_PI</t>
  </si>
  <si>
    <t>T_FIRMA</t>
  </si>
  <si>
    <t>T_PAGO</t>
  </si>
  <si>
    <t>T_COOR</t>
  </si>
  <si>
    <t>T_ETA</t>
  </si>
  <si>
    <t>F_ODI</t>
  </si>
  <si>
    <t>T_ODI</t>
  </si>
  <si>
    <t>TOTAL</t>
  </si>
  <si>
    <t>periodo 1</t>
  </si>
  <si>
    <t>periodo 2</t>
  </si>
  <si>
    <t>periodo 3</t>
  </si>
  <si>
    <t>maximo</t>
  </si>
  <si>
    <t>diferencia</t>
  </si>
  <si>
    <t>ponderado sobre el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</si>
</sst>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101828"/>
      <name val="Inte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C0EF5-4ED9-4935-851D-4CB9F3029165}">
  <dimension ref="A1:J2"/>
  <sheetViews>
    <sheetView workbookViewId="0">
      <selection sqref="A1:J1"/>
    </sheetView>
  </sheetViews>
  <sheetFormatPr baseColWidth="10" defaultRowHeight="15"/>
  <cols>
    <col min="1" max="1" width="17.42578125" bestFit="1" customWidth="1"/>
    <col min="2" max="2" width="38.7109375" bestFit="1" customWidth="1"/>
    <col min="3" max="3" width="16.28515625" bestFit="1" customWidth="1"/>
    <col min="4" max="4" width="9.85546875" bestFit="1" customWidth="1"/>
    <col min="5" max="5" width="20.85546875" customWidth="1"/>
    <col min="6" max="6" width="28" bestFit="1" customWidth="1"/>
    <col min="7" max="7" width="9.85546875" bestFit="1" customWidth="1"/>
    <col min="8" max="8" width="17.28515625" bestFit="1" customWidth="1"/>
  </cols>
  <sheetData>
    <row r="1" spans="1:10" s="2" customFormat="1" ht="30">
      <c r="A1" s="2" t="s">
        <v>0</v>
      </c>
      <c r="B1" s="2" t="s">
        <v>1</v>
      </c>
      <c r="C1" s="2" t="s">
        <v>7</v>
      </c>
      <c r="D1" s="2" t="s">
        <v>2</v>
      </c>
      <c r="E1" s="3" t="s">
        <v>9</v>
      </c>
      <c r="F1" s="2" t="s">
        <v>10</v>
      </c>
      <c r="G1" s="2" t="s">
        <v>3</v>
      </c>
      <c r="H1" s="2" t="s">
        <v>4</v>
      </c>
      <c r="I1" s="2" t="s">
        <v>5</v>
      </c>
      <c r="J1" s="2" t="s">
        <v>8</v>
      </c>
    </row>
    <row r="2" spans="1:10">
      <c r="A2" t="s">
        <v>6</v>
      </c>
      <c r="B2">
        <v>200</v>
      </c>
      <c r="C2">
        <v>129</v>
      </c>
      <c r="D2">
        <v>137</v>
      </c>
      <c r="E2" s="1">
        <v>29</v>
      </c>
      <c r="F2">
        <v>6</v>
      </c>
      <c r="G2">
        <v>2</v>
      </c>
      <c r="H2">
        <v>1</v>
      </c>
      <c r="I2">
        <v>17740000</v>
      </c>
      <c r="J2">
        <v>353483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5FB3D-BD9B-47FC-92A9-D9B5240E170B}">
  <dimension ref="A1:N19"/>
  <sheetViews>
    <sheetView workbookViewId="0">
      <selection activeCell="M2" sqref="M2"/>
    </sheetView>
  </sheetViews>
  <sheetFormatPr baseColWidth="10" defaultRowHeight="15"/>
  <cols>
    <col min="3" max="3" width="6.5703125" bestFit="1" customWidth="1"/>
    <col min="4" max="4" width="10.42578125" bestFit="1" customWidth="1"/>
    <col min="7" max="7" width="12.42578125" bestFit="1" customWidth="1"/>
    <col min="8" max="8" width="11.140625" bestFit="1" customWidth="1"/>
    <col min="12" max="12" width="15.7109375" customWidth="1"/>
  </cols>
  <sheetData>
    <row r="1" spans="1:14">
      <c r="A1" s="4" t="s">
        <v>20</v>
      </c>
      <c r="B1" s="4" t="s">
        <v>24</v>
      </c>
      <c r="C1" s="4" t="s">
        <v>21</v>
      </c>
      <c r="D1" s="4" t="s">
        <v>33</v>
      </c>
      <c r="E1" s="4" t="s">
        <v>22</v>
      </c>
      <c r="F1" s="4" t="s">
        <v>40</v>
      </c>
      <c r="G1" s="4" t="s">
        <v>31</v>
      </c>
      <c r="H1" s="4" t="s">
        <v>23</v>
      </c>
      <c r="I1" s="4" t="s">
        <v>32</v>
      </c>
      <c r="J1" s="4" t="s">
        <v>25</v>
      </c>
      <c r="K1" s="4" t="s">
        <v>26</v>
      </c>
      <c r="L1" s="4" t="s">
        <v>27</v>
      </c>
      <c r="M1" s="4" t="s">
        <v>28</v>
      </c>
      <c r="N1" s="4" t="s">
        <v>30</v>
      </c>
    </row>
    <row r="2" spans="1:14">
      <c r="A2" s="5">
        <v>123456</v>
      </c>
      <c r="B2" s="6">
        <v>46023</v>
      </c>
      <c r="C2" s="5"/>
      <c r="D2" s="6">
        <v>46024</v>
      </c>
      <c r="E2" s="5">
        <v>654321</v>
      </c>
      <c r="F2" s="6">
        <v>46026</v>
      </c>
      <c r="G2" s="5"/>
      <c r="H2" s="5" t="s">
        <v>29</v>
      </c>
      <c r="I2" s="6">
        <v>46027</v>
      </c>
      <c r="J2" s="6">
        <v>46029</v>
      </c>
      <c r="K2" s="6">
        <v>46032</v>
      </c>
      <c r="L2" s="6">
        <v>46042</v>
      </c>
      <c r="M2" s="6">
        <v>46068</v>
      </c>
      <c r="N2" s="5"/>
    </row>
    <row r="3" spans="1:14">
      <c r="B3" s="6"/>
    </row>
    <row r="4" spans="1:14">
      <c r="B4" s="6"/>
    </row>
    <row r="5" spans="1:14">
      <c r="B5" s="6"/>
    </row>
    <row r="6" spans="1:14">
      <c r="B6" s="6"/>
    </row>
    <row r="7" spans="1:14">
      <c r="B7" s="6"/>
    </row>
    <row r="8" spans="1:14">
      <c r="B8" s="6"/>
    </row>
    <row r="9" spans="1:14">
      <c r="B9" s="6"/>
    </row>
    <row r="10" spans="1:14">
      <c r="B10" s="6"/>
    </row>
    <row r="11" spans="1:14">
      <c r="B11" s="6"/>
    </row>
    <row r="12" spans="1:14">
      <c r="B12" s="6"/>
    </row>
    <row r="13" spans="1:14">
      <c r="B13" s="6"/>
    </row>
    <row r="14" spans="1:14">
      <c r="B14" s="6"/>
    </row>
    <row r="18" spans="3:12">
      <c r="C18" t="s">
        <v>34</v>
      </c>
      <c r="D18" t="s">
        <v>41</v>
      </c>
      <c r="E18" t="s">
        <v>35</v>
      </c>
      <c r="F18" t="s">
        <v>36</v>
      </c>
      <c r="H18" t="s">
        <v>37</v>
      </c>
      <c r="I18" t="s">
        <v>38</v>
      </c>
      <c r="J18" t="s">
        <v>39</v>
      </c>
      <c r="L18" t="s">
        <v>42</v>
      </c>
    </row>
    <row r="19" spans="3:12">
      <c r="C19" s="7">
        <f>(F2-D2)</f>
        <v>2</v>
      </c>
      <c r="D19" s="7">
        <f>(F2-D2)</f>
        <v>2</v>
      </c>
      <c r="E19" s="7">
        <f>(I2-F2)</f>
        <v>1</v>
      </c>
      <c r="F19" s="7">
        <f>(J2-I2)</f>
        <v>2</v>
      </c>
      <c r="G19" s="7"/>
      <c r="H19" s="7">
        <f>(K2-J2)</f>
        <v>3</v>
      </c>
      <c r="I19" s="7">
        <f>(L2-K2)</f>
        <v>10</v>
      </c>
      <c r="J19" s="7">
        <f>(M2-L2)</f>
        <v>26</v>
      </c>
      <c r="K19">
        <f>SUM(C19:J19)</f>
        <v>46</v>
      </c>
      <c r="L19">
        <f>(M2-B2)</f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15D67-94C9-4DE0-977C-AC1B94033762}">
  <dimension ref="C4:G11"/>
  <sheetViews>
    <sheetView tabSelected="1" workbookViewId="0">
      <selection activeCell="C12" sqref="C12"/>
    </sheetView>
  </sheetViews>
  <sheetFormatPr baseColWidth="10" defaultRowHeight="15"/>
  <sheetData>
    <row r="4" spans="3:7">
      <c r="C4" t="s">
        <v>43</v>
      </c>
      <c r="D4" t="s">
        <v>44</v>
      </c>
      <c r="E4" t="s">
        <v>45</v>
      </c>
      <c r="F4" t="s">
        <v>46</v>
      </c>
      <c r="G4" t="s">
        <v>47</v>
      </c>
    </row>
    <row r="5" spans="3:7">
      <c r="C5">
        <v>10</v>
      </c>
      <c r="D5">
        <v>10</v>
      </c>
      <c r="E5">
        <v>10</v>
      </c>
      <c r="F5">
        <v>30</v>
      </c>
    </row>
    <row r="6" spans="3:7">
      <c r="C6">
        <v>15</v>
      </c>
      <c r="D6">
        <v>12</v>
      </c>
      <c r="E6">
        <v>12</v>
      </c>
      <c r="F6">
        <f>SUM(C6:E6)</f>
        <v>39</v>
      </c>
      <c r="G6">
        <f>(F6-F5)</f>
        <v>9</v>
      </c>
    </row>
    <row r="7" spans="3:7">
      <c r="C7">
        <f>(C6/C5)</f>
        <v>1.5</v>
      </c>
      <c r="D7">
        <f t="shared" ref="D7:E7" si="0">(D6/D5)</f>
        <v>1.2</v>
      </c>
      <c r="E7">
        <f t="shared" si="0"/>
        <v>1.2</v>
      </c>
    </row>
    <row r="8" spans="3:7">
      <c r="C8">
        <f>(C7-1)</f>
        <v>0.5</v>
      </c>
      <c r="D8">
        <f t="shared" ref="D8:E8" si="1">(D7-1)</f>
        <v>0.19999999999999996</v>
      </c>
      <c r="E8">
        <f t="shared" si="1"/>
        <v>0.19999999999999996</v>
      </c>
      <c r="F8">
        <f>(1+(F10))</f>
        <v>1</v>
      </c>
      <c r="G8">
        <f>(F6*F8)</f>
        <v>39</v>
      </c>
    </row>
    <row r="11" spans="3:7">
      <c r="C11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CB197-D1DE-4382-8301-BAD2C269F861}">
  <dimension ref="A1:A9"/>
  <sheetViews>
    <sheetView workbookViewId="0">
      <selection activeCell="A10" sqref="A10"/>
    </sheetView>
  </sheetViews>
  <sheetFormatPr baseColWidth="10" defaultRowHeight="15"/>
  <cols>
    <col min="1" max="1" width="120" bestFit="1" customWidth="1"/>
    <col min="4" max="4" width="28" customWidth="1"/>
  </cols>
  <sheetData>
    <row r="1" spans="1:1">
      <c r="A1" t="s">
        <v>11</v>
      </c>
    </row>
    <row r="2" spans="1:1">
      <c r="A2" t="s">
        <v>12</v>
      </c>
    </row>
    <row r="3" spans="1:1">
      <c r="A3" t="s">
        <v>13</v>
      </c>
    </row>
    <row r="4" spans="1:1">
      <c r="A4" t="s">
        <v>14</v>
      </c>
    </row>
    <row r="5" spans="1:1">
      <c r="A5" t="s">
        <v>15</v>
      </c>
    </row>
    <row r="6" spans="1:1">
      <c r="A6" t="s">
        <v>16</v>
      </c>
    </row>
    <row r="7" spans="1:1">
      <c r="A7" t="s">
        <v>17</v>
      </c>
    </row>
    <row r="8" spans="1:1">
      <c r="A8" t="s">
        <v>18</v>
      </c>
    </row>
    <row r="9" spans="1:1">
      <c r="A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 KPI</vt:lpstr>
      <vt:lpstr>ORIGO</vt:lpstr>
      <vt:lpstr>Hoja1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Toledo</dc:creator>
  <cp:lastModifiedBy>Manuel Toledo</cp:lastModifiedBy>
  <dcterms:created xsi:type="dcterms:W3CDTF">2026-05-12T19:45:06Z</dcterms:created>
  <dcterms:modified xsi:type="dcterms:W3CDTF">2026-05-18T14:57:51Z</dcterms:modified>
</cp:coreProperties>
</file>